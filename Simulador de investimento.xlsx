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78ff2f4b45473c/Documentos/Curso Excel com IA/"/>
    </mc:Choice>
  </mc:AlternateContent>
  <xr:revisionPtr revIDLastSave="333" documentId="8_{8ED545D9-28FB-4BE9-9998-A5E8E0315269}" xr6:coauthVersionLast="47" xr6:coauthVersionMax="47" xr10:uidLastSave="{970B7E34-34FC-4C24-9498-56118EBD617E}"/>
  <bookViews>
    <workbookView xWindow="-110" yWindow="-110" windowWidth="19420" windowHeight="10300" tabRatio="65" xr2:uid="{E56F265D-C893-4686-AEF1-0791FFC9FD92}"/>
  </bookViews>
  <sheets>
    <sheet name="APP" sheetId="1" r:id="rId1"/>
    <sheet name="tb_PERFIL_INVEST" sheetId="2" r:id="rId2"/>
  </sheets>
  <definedNames>
    <definedName name="aporte">APP!$D$14</definedName>
    <definedName name="qtd_anos">APP!$D$15</definedName>
    <definedName name="rendimento_carteira">APP!$D$10</definedName>
    <definedName name="salario">APP!$D$9</definedName>
    <definedName name="sugestao_invest">APP!$D$11</definedName>
    <definedName name="taxa_invest">APP!$D$16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C33" i="1"/>
  <c r="C34" i="1"/>
  <c r="C35" i="1"/>
  <c r="C36" i="1"/>
  <c r="C37" i="1"/>
  <c r="C32" i="1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D11" i="1"/>
  <c r="D17" i="1"/>
  <c r="D18" i="1" s="1"/>
  <c r="C25" i="1"/>
  <c r="D25" i="1" s="1"/>
  <c r="C24" i="1"/>
  <c r="D24" i="1" s="1"/>
  <c r="C23" i="1"/>
  <c r="D23" i="1" s="1"/>
  <c r="C22" i="1"/>
  <c r="D22" i="1" s="1"/>
  <c r="C21" i="1"/>
  <c r="D21" i="1" s="1"/>
  <c r="D32" i="1" l="1"/>
  <c r="D37" i="1"/>
  <c r="D36" i="1"/>
  <c r="D35" i="1"/>
  <c r="D34" i="1"/>
  <c r="D33" i="1"/>
  <c r="D38" i="1" l="1"/>
</calcChain>
</file>

<file path=xl/sharedStrings.xml><?xml version="1.0" encoding="utf-8"?>
<sst xmlns="http://schemas.openxmlformats.org/spreadsheetml/2006/main" count="69" uniqueCount="35">
  <si>
    <t>Quanto investir por mês?</t>
  </si>
  <si>
    <t>Taxa de rendimento mesal?</t>
  </si>
  <si>
    <t>Qual o patrimônio total?</t>
  </si>
  <si>
    <t>Quais dividendos mensais?</t>
  </si>
  <si>
    <t>INVESTIMENTO MENSAL</t>
  </si>
  <si>
    <t>Por  Quanto Anos?</t>
  </si>
  <si>
    <t>Quanto em 2 Anos?</t>
  </si>
  <si>
    <t>Cenários</t>
  </si>
  <si>
    <t>Quanto em 5 Anos?</t>
  </si>
  <si>
    <t>Quanto em 10 Anos?</t>
  </si>
  <si>
    <t>Quanto em 20 Anos?</t>
  </si>
  <si>
    <t>Quanto em 30 Anos?</t>
  </si>
  <si>
    <t>Dividendos</t>
  </si>
  <si>
    <t>Salário</t>
  </si>
  <si>
    <t>Rendimento Carteira</t>
  </si>
  <si>
    <t>Sugestão de Investimento</t>
  </si>
  <si>
    <t>CONFIGURAÇÕES</t>
  </si>
  <si>
    <t>PERFIL</t>
  </si>
  <si>
    <t>VALOR A SER INVESTIDO POR MÊS</t>
  </si>
  <si>
    <t>TIPO DE FII</t>
  </si>
  <si>
    <t>PAPEL</t>
  </si>
  <si>
    <t>TIJOLO</t>
  </si>
  <si>
    <t>HIBRIDOS</t>
  </si>
  <si>
    <t>FOFs</t>
  </si>
  <si>
    <t>DESENVOLVIMENTO</t>
  </si>
  <si>
    <t>HOTELATIAS</t>
  </si>
  <si>
    <t>Percentual Sugerido</t>
  </si>
  <si>
    <t>Valores</t>
  </si>
  <si>
    <t>TIPO FII</t>
  </si>
  <si>
    <t>Conservador</t>
  </si>
  <si>
    <t>%</t>
  </si>
  <si>
    <t>CHAVE</t>
  </si>
  <si>
    <t>Moderado</t>
  </si>
  <si>
    <t>Agressivo</t>
  </si>
  <si>
    <t>SELECIONE UM PERFIL DE INVESTIDOR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</si>
</sst>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  <numFmt numFmtId="168" formatCode="0.00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theme="0" tint="-0.249977111117893"/>
      </left>
      <right style="dashed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medium">
        <color indexed="64"/>
      </left>
      <right style="dashed">
        <color theme="0" tint="-0.249977111117893"/>
      </right>
      <top style="medium">
        <color indexed="64"/>
      </top>
      <bottom style="dashed">
        <color theme="0" tint="-0.249977111117893"/>
      </bottom>
      <diagonal/>
    </border>
    <border>
      <left style="dashed">
        <color theme="0" tint="-0.249977111117893"/>
      </left>
      <right style="dashed">
        <color theme="0" tint="-0.249977111117893"/>
      </right>
      <top style="medium">
        <color indexed="64"/>
      </top>
      <bottom style="dashed">
        <color theme="0" tint="-0.249977111117893"/>
      </bottom>
      <diagonal/>
    </border>
    <border>
      <left style="dashed">
        <color theme="0" tint="-0.249977111117893"/>
      </left>
      <right style="medium">
        <color indexed="64"/>
      </right>
      <top style="medium">
        <color indexed="64"/>
      </top>
      <bottom style="dashed">
        <color theme="0" tint="-0.249977111117893"/>
      </bottom>
      <diagonal/>
    </border>
    <border>
      <left style="medium">
        <color indexed="64"/>
      </left>
      <right style="dashed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dashed">
        <color theme="0" tint="-0.249977111117893"/>
      </left>
      <right style="medium">
        <color indexed="64"/>
      </right>
      <top style="dashed">
        <color theme="0" tint="-0.249977111117893"/>
      </top>
      <bottom style="dashed">
        <color theme="0" tint="-0.249977111117893"/>
      </bottom>
      <diagonal/>
    </border>
    <border>
      <left style="medium">
        <color indexed="64"/>
      </left>
      <right style="dashed">
        <color theme="0" tint="-0.249977111117893"/>
      </right>
      <top style="dashed">
        <color theme="0" tint="-0.249977111117893"/>
      </top>
      <bottom style="medium">
        <color indexed="64"/>
      </bottom>
      <diagonal/>
    </border>
    <border>
      <left style="dashed">
        <color theme="0" tint="-0.249977111117893"/>
      </left>
      <right style="dashed">
        <color theme="0" tint="-0.249977111117893"/>
      </right>
      <top style="dashed">
        <color theme="0" tint="-0.249977111117893"/>
      </top>
      <bottom style="medium">
        <color indexed="64"/>
      </bottom>
      <diagonal/>
    </border>
    <border>
      <left style="dashed">
        <color theme="0" tint="-0.249977111117893"/>
      </left>
      <right style="medium">
        <color indexed="64"/>
      </right>
      <top style="dashed">
        <color theme="0" tint="-0.249977111117893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/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5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0" xfId="0" applyBorder="1"/>
    <xf numFmtId="0" fontId="4" fillId="0" borderId="0" xfId="0" applyFont="1"/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9" fontId="0" fillId="0" borderId="0" xfId="0" applyNumberFormat="1"/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166" fontId="0" fillId="4" borderId="25" xfId="1" applyNumberFormat="1" applyFont="1" applyFill="1" applyBorder="1" applyAlignment="1">
      <alignment horizontal="left"/>
    </xf>
    <xf numFmtId="0" fontId="8" fillId="4" borderId="19" xfId="0" applyFont="1" applyFill="1" applyBorder="1" applyAlignment="1">
      <alignment horizontal="left" indent="3"/>
    </xf>
    <xf numFmtId="0" fontId="8" fillId="4" borderId="16" xfId="0" applyFont="1" applyFill="1" applyBorder="1" applyAlignment="1">
      <alignment horizontal="left" indent="3"/>
    </xf>
    <xf numFmtId="0" fontId="8" fillId="4" borderId="21" xfId="0" applyFont="1" applyFill="1" applyBorder="1" applyAlignment="1">
      <alignment horizontal="left" indent="3"/>
    </xf>
    <xf numFmtId="0" fontId="8" fillId="4" borderId="17" xfId="0" applyFont="1" applyFill="1" applyBorder="1" applyAlignment="1">
      <alignment horizontal="left" indent="3"/>
    </xf>
    <xf numFmtId="0" fontId="8" fillId="4" borderId="23" xfId="0" applyFont="1" applyFill="1" applyBorder="1" applyAlignment="1">
      <alignment horizontal="left" indent="3"/>
    </xf>
    <xf numFmtId="0" fontId="8" fillId="4" borderId="24" xfId="0" applyFont="1" applyFill="1" applyBorder="1" applyAlignment="1">
      <alignment horizontal="left" indent="3"/>
    </xf>
    <xf numFmtId="0" fontId="0" fillId="0" borderId="0" xfId="0" applyAlignment="1">
      <alignment horizontal="left" indent="3"/>
    </xf>
    <xf numFmtId="0" fontId="9" fillId="0" borderId="0" xfId="0" applyFont="1" applyAlignment="1">
      <alignment horizontal="left" indent="3"/>
    </xf>
    <xf numFmtId="0" fontId="8" fillId="4" borderId="11" xfId="0" applyFont="1" applyFill="1" applyBorder="1" applyAlignment="1">
      <alignment horizontal="left" indent="3"/>
    </xf>
    <xf numFmtId="0" fontId="8" fillId="4" borderId="13" xfId="0" applyFont="1" applyFill="1" applyBorder="1" applyAlignment="1">
      <alignment horizontal="left" indent="3"/>
    </xf>
    <xf numFmtId="0" fontId="3" fillId="0" borderId="22" xfId="0" applyFont="1" applyBorder="1" applyAlignment="1">
      <alignment horizontal="left"/>
    </xf>
    <xf numFmtId="10" fontId="3" fillId="0" borderId="22" xfId="0" applyNumberFormat="1" applyFont="1" applyBorder="1" applyAlignment="1">
      <alignment horizontal="left"/>
    </xf>
    <xf numFmtId="166" fontId="3" fillId="0" borderId="20" xfId="0" applyNumberFormat="1" applyFont="1" applyBorder="1" applyAlignment="1">
      <alignment horizontal="left"/>
    </xf>
    <xf numFmtId="8" fontId="0" fillId="4" borderId="22" xfId="0" applyNumberFormat="1" applyFont="1" applyFill="1" applyBorder="1" applyAlignment="1">
      <alignment horizontal="left"/>
    </xf>
    <xf numFmtId="8" fontId="0" fillId="4" borderId="25" xfId="0" applyNumberFormat="1" applyFont="1" applyFill="1" applyBorder="1" applyAlignment="1">
      <alignment horizontal="left"/>
    </xf>
    <xf numFmtId="166" fontId="3" fillId="0" borderId="20" xfId="1" applyNumberFormat="1" applyFont="1" applyBorder="1" applyAlignment="1">
      <alignment horizontal="left"/>
    </xf>
    <xf numFmtId="168" fontId="3" fillId="0" borderId="22" xfId="0" applyNumberFormat="1" applyFont="1" applyBorder="1" applyAlignment="1">
      <alignment horizontal="left"/>
    </xf>
    <xf numFmtId="8" fontId="0" fillId="4" borderId="7" xfId="0" applyNumberFormat="1" applyFill="1" applyBorder="1" applyAlignment="1">
      <alignment horizontal="left" vertical="center"/>
    </xf>
    <xf numFmtId="8" fontId="0" fillId="4" borderId="12" xfId="0" applyNumberFormat="1" applyFill="1" applyBorder="1" applyAlignment="1">
      <alignment horizontal="left" vertical="center"/>
    </xf>
    <xf numFmtId="8" fontId="0" fillId="4" borderId="14" xfId="0" applyNumberFormat="1" applyFill="1" applyBorder="1" applyAlignment="1">
      <alignment horizontal="left" vertical="center"/>
    </xf>
    <xf numFmtId="8" fontId="0" fillId="4" borderId="15" xfId="0" applyNumberFormat="1" applyFill="1" applyBorder="1" applyAlignment="1">
      <alignment horizontal="left" vertical="center"/>
    </xf>
    <xf numFmtId="0" fontId="0" fillId="0" borderId="26" xfId="0" applyBorder="1"/>
    <xf numFmtId="9" fontId="0" fillId="0" borderId="26" xfId="0" applyNumberFormat="1" applyBorder="1"/>
    <xf numFmtId="0" fontId="5" fillId="3" borderId="10" xfId="0" applyFont="1" applyFill="1" applyBorder="1" applyAlignment="1">
      <alignment horizontal="center" vertical="center"/>
    </xf>
    <xf numFmtId="0" fontId="10" fillId="2" borderId="1" xfId="3" applyFont="1" applyBorder="1" applyAlignment="1">
      <alignment horizontal="center"/>
    </xf>
    <xf numFmtId="0" fontId="10" fillId="2" borderId="18" xfId="3" applyFont="1" applyBorder="1" applyAlignment="1">
      <alignment horizontal="center"/>
    </xf>
    <xf numFmtId="0" fontId="10" fillId="2" borderId="2" xfId="3" applyFont="1" applyBorder="1"/>
    <xf numFmtId="0" fontId="3" fillId="4" borderId="3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3" fillId="7" borderId="3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3"/>
    </xf>
    <xf numFmtId="9" fontId="0" fillId="0" borderId="0" xfId="2" applyFont="1" applyBorder="1" applyAlignment="1">
      <alignment horizontal="left"/>
    </xf>
    <xf numFmtId="166" fontId="0" fillId="0" borderId="4" xfId="0" applyNumberFormat="1" applyBorder="1" applyAlignment="1">
      <alignment horizontal="left"/>
    </xf>
    <xf numFmtId="0" fontId="3" fillId="7" borderId="5" xfId="0" applyFont="1" applyFill="1" applyBorder="1"/>
    <xf numFmtId="0" fontId="3" fillId="7" borderId="26" xfId="0" applyFont="1" applyFill="1" applyBorder="1"/>
    <xf numFmtId="166" fontId="3" fillId="7" borderId="6" xfId="0" applyNumberFormat="1" applyFont="1" applyFill="1" applyBorder="1" applyAlignment="1">
      <alignment horizontal="left"/>
    </xf>
    <xf numFmtId="0" fontId="4" fillId="5" borderId="0" xfId="0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305718</xdr:colOff>
      <xdr:row>0</xdr:row>
      <xdr:rowOff>45358</xdr:rowOff>
    </xdr:from>
    <xdr:to>
      <xdr:col>4</xdr:col>
      <xdr:colOff>31760</xdr:colOff>
      <xdr:row>5</xdr:row>
      <xdr:rowOff>163286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E43A50-C120-DFA5-ADC2-3BF1291AC4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01" t="34451" r="18382" b="32597"/>
        <a:stretch>
          <a:fillRect/>
        </a:stretch>
      </xdr:blipFill>
      <xdr:spPr>
        <a:xfrm>
          <a:off x="305718" y="45358"/>
          <a:ext cx="4923971" cy="1025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6841-46B6-470F-B3F7-582EF86FC879}">
  <dimension ref="A7:F38"/>
  <sheetViews>
    <sheetView showGridLines="0" showRowColHeaders="0" tabSelected="1" zoomScale="70" zoomScaleNormal="70" workbookViewId="0">
      <selection activeCell="D9" sqref="D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x14ac:dyDescent="0.35"/>
  <cols>
    <col min="1" max="1" width="4.81640625" customWidth="1"/>
    <col min="2" max="2" width="29.08984375" bestFit="1" customWidth="1"/>
    <col min="3" max="3" width="21.81640625" customWidth="1"/>
    <col min="4" max="4" width="18.7265625" customWidth="1"/>
    <col min="5" max="5" width="5.6328125" customWidth="1"/>
    <col min="6" max="6" width="11.6328125" hidden="1"/>
    <col min="7" max="16384" width="8.7265625" hidden="1"/>
  </cols>
  <sheetData>
    <row r="7" spans="2:4" ht="15" thickBot="1" x14ac:dyDescent="0.4"/>
    <row r="8" spans="2:4" ht="21" x14ac:dyDescent="0.35">
      <c r="B8" s="8" t="s">
        <v>16</v>
      </c>
      <c r="C8" s="10"/>
      <c r="D8" s="9"/>
    </row>
    <row r="9" spans="2:4" ht="16" x14ac:dyDescent="0.4">
      <c r="B9" s="13" t="s">
        <v>13</v>
      </c>
      <c r="C9" s="14"/>
      <c r="D9" s="28">
        <v>5000</v>
      </c>
    </row>
    <row r="10" spans="2:4" ht="16" x14ac:dyDescent="0.4">
      <c r="B10" s="15" t="s">
        <v>14</v>
      </c>
      <c r="C10" s="16"/>
      <c r="D10" s="29">
        <v>0.01</v>
      </c>
    </row>
    <row r="11" spans="2:4" ht="16.5" thickBot="1" x14ac:dyDescent="0.45">
      <c r="B11" s="17" t="s">
        <v>15</v>
      </c>
      <c r="C11" s="18"/>
      <c r="D11" s="12">
        <f>salario*30%</f>
        <v>1500</v>
      </c>
    </row>
    <row r="12" spans="2:4" ht="15" thickBot="1" x14ac:dyDescent="0.4">
      <c r="B12" s="19"/>
      <c r="C12" s="19"/>
    </row>
    <row r="13" spans="2:4" ht="23.5" x14ac:dyDescent="0.35">
      <c r="B13" s="1" t="s">
        <v>4</v>
      </c>
      <c r="C13" s="11"/>
      <c r="D13" s="2"/>
    </row>
    <row r="14" spans="2:4" ht="16" x14ac:dyDescent="0.4">
      <c r="B14" s="13" t="s">
        <v>0</v>
      </c>
      <c r="C14" s="14"/>
      <c r="D14" s="25">
        <v>500</v>
      </c>
    </row>
    <row r="15" spans="2:4" ht="16" x14ac:dyDescent="0.4">
      <c r="B15" s="15" t="s">
        <v>5</v>
      </c>
      <c r="C15" s="16"/>
      <c r="D15" s="23">
        <v>5</v>
      </c>
    </row>
    <row r="16" spans="2:4" ht="16" x14ac:dyDescent="0.4">
      <c r="B16" s="15" t="s">
        <v>1</v>
      </c>
      <c r="C16" s="16"/>
      <c r="D16" s="24">
        <v>1.0789999999999999E-2</v>
      </c>
    </row>
    <row r="17" spans="1:4" ht="16" x14ac:dyDescent="0.4">
      <c r="B17" s="15" t="s">
        <v>2</v>
      </c>
      <c r="C17" s="16"/>
      <c r="D17" s="26">
        <f>FV(taxa_invest,qtd_anos*12,aporte*-1)</f>
        <v>41888.456999243819</v>
      </c>
    </row>
    <row r="18" spans="1:4" ht="16.5" thickBot="1" x14ac:dyDescent="0.45">
      <c r="B18" s="17" t="s">
        <v>3</v>
      </c>
      <c r="C18" s="18"/>
      <c r="D18" s="27">
        <f>D17*rendimento_carteira</f>
        <v>418.88456999243817</v>
      </c>
    </row>
    <row r="19" spans="1:4" ht="19" thickBot="1" x14ac:dyDescent="0.5">
      <c r="B19" s="20"/>
      <c r="C19" s="19"/>
    </row>
    <row r="20" spans="1:4" ht="23.5" x14ac:dyDescent="0.35">
      <c r="A20" s="4"/>
      <c r="B20" s="5" t="s">
        <v>7</v>
      </c>
      <c r="C20" s="6"/>
      <c r="D20" s="36" t="s">
        <v>12</v>
      </c>
    </row>
    <row r="21" spans="1:4" ht="16" x14ac:dyDescent="0.4">
      <c r="A21" s="4">
        <v>2</v>
      </c>
      <c r="B21" s="21" t="s">
        <v>6</v>
      </c>
      <c r="C21" s="30">
        <f>FV($D$16,A21*12,$D$14*-1)</f>
        <v>13613.813648822608</v>
      </c>
      <c r="D21" s="31">
        <f>C21*rendimento_carteira</f>
        <v>136.13813648822608</v>
      </c>
    </row>
    <row r="22" spans="1:4" ht="16" x14ac:dyDescent="0.4">
      <c r="A22" s="4">
        <v>5</v>
      </c>
      <c r="B22" s="21" t="s">
        <v>8</v>
      </c>
      <c r="C22" s="30">
        <f>FV($D$16,A22*12,$D$14*-1)</f>
        <v>41888.456999243819</v>
      </c>
      <c r="D22" s="31">
        <f>C22*rendimento_carteira</f>
        <v>418.88456999243817</v>
      </c>
    </row>
    <row r="23" spans="1:4" ht="16" x14ac:dyDescent="0.4">
      <c r="A23" s="4">
        <v>10</v>
      </c>
      <c r="B23" s="21" t="s">
        <v>9</v>
      </c>
      <c r="C23" s="30">
        <f>FV($D$16,A23*12,$D$14*-1)</f>
        <v>121642.1062650861</v>
      </c>
      <c r="D23" s="31">
        <f>C23*rendimento_carteira</f>
        <v>1216.4210626508609</v>
      </c>
    </row>
    <row r="24" spans="1:4" ht="16" x14ac:dyDescent="0.4">
      <c r="A24" s="4">
        <v>20</v>
      </c>
      <c r="B24" s="21" t="s">
        <v>10</v>
      </c>
      <c r="C24" s="30">
        <f>FV($D$16,A24*12,$D$14*-1)</f>
        <v>562599.20004854025</v>
      </c>
      <c r="D24" s="31">
        <f>C24*rendimento_carteira</f>
        <v>5625.992000485403</v>
      </c>
    </row>
    <row r="25" spans="1:4" ht="16.5" thickBot="1" x14ac:dyDescent="0.45">
      <c r="A25" s="4">
        <v>30</v>
      </c>
      <c r="B25" s="22" t="s">
        <v>11</v>
      </c>
      <c r="C25" s="32">
        <f>FV($D$16,A25*12,$D$14*-1)</f>
        <v>2161084.8275023573</v>
      </c>
      <c r="D25" s="33">
        <f>C25*rendimento_carteira</f>
        <v>21610.848275023574</v>
      </c>
    </row>
    <row r="27" spans="1:4" ht="15" thickBot="1" x14ac:dyDescent="0.4"/>
    <row r="28" spans="1:4" x14ac:dyDescent="0.35">
      <c r="B28" s="37" t="s">
        <v>34</v>
      </c>
      <c r="C28" s="38"/>
      <c r="D28" s="39" t="s">
        <v>29</v>
      </c>
    </row>
    <row r="29" spans="1:4" x14ac:dyDescent="0.35">
      <c r="B29" s="40" t="s">
        <v>18</v>
      </c>
      <c r="C29" s="41"/>
      <c r="D29" s="42">
        <f>aporte</f>
        <v>500</v>
      </c>
    </row>
    <row r="30" spans="1:4" x14ac:dyDescent="0.35">
      <c r="B30" s="43"/>
      <c r="C30" s="3"/>
      <c r="D30" s="44"/>
    </row>
    <row r="31" spans="1:4" x14ac:dyDescent="0.35">
      <c r="B31" s="45" t="s">
        <v>19</v>
      </c>
      <c r="C31" s="46" t="s">
        <v>26</v>
      </c>
      <c r="D31" s="47" t="s">
        <v>27</v>
      </c>
    </row>
    <row r="32" spans="1:4" x14ac:dyDescent="0.35">
      <c r="B32" s="48" t="s">
        <v>20</v>
      </c>
      <c r="C32" s="49">
        <f>VLOOKUP($D$28&amp;"-"&amp;$B32,tb_PERFIL_INVEST!A:D,4,FALSE)</f>
        <v>0.3</v>
      </c>
      <c r="D32" s="50">
        <f>C32*$D$29</f>
        <v>150</v>
      </c>
    </row>
    <row r="33" spans="2:4" x14ac:dyDescent="0.35">
      <c r="B33" s="48" t="s">
        <v>21</v>
      </c>
      <c r="C33" s="49">
        <f>VLOOKUP($D$28&amp;"-"&amp;$B33,tb_PERFIL_INVEST!A:D,4,FALSE)</f>
        <v>0.5</v>
      </c>
      <c r="D33" s="50">
        <f>C33*$D$29</f>
        <v>250</v>
      </c>
    </row>
    <row r="34" spans="2:4" x14ac:dyDescent="0.35">
      <c r="B34" s="48" t="s">
        <v>22</v>
      </c>
      <c r="C34" s="49">
        <f>VLOOKUP($D$28&amp;"-"&amp;$B34,tb_PERFIL_INVEST!A:D,4,FALSE)</f>
        <v>0.1</v>
      </c>
      <c r="D34" s="50">
        <f>C34*$D$29</f>
        <v>50</v>
      </c>
    </row>
    <row r="35" spans="2:4" x14ac:dyDescent="0.35">
      <c r="B35" s="48" t="s">
        <v>23</v>
      </c>
      <c r="C35" s="49">
        <f>VLOOKUP($D$28&amp;"-"&amp;$B35,tb_PERFIL_INVEST!A:D,4,FALSE)</f>
        <v>0.1</v>
      </c>
      <c r="D35" s="50">
        <f>C35*$D$29</f>
        <v>50</v>
      </c>
    </row>
    <row r="36" spans="2:4" x14ac:dyDescent="0.35">
      <c r="B36" s="48" t="s">
        <v>24</v>
      </c>
      <c r="C36" s="49">
        <f>VLOOKUP($D$28&amp;"-"&amp;$B36,tb_PERFIL_INVEST!A:D,4,FALSE)</f>
        <v>0</v>
      </c>
      <c r="D36" s="50">
        <f>C36*$D$29</f>
        <v>0</v>
      </c>
    </row>
    <row r="37" spans="2:4" x14ac:dyDescent="0.35">
      <c r="B37" s="48" t="s">
        <v>25</v>
      </c>
      <c r="C37" s="49">
        <f>VLOOKUP($D$28&amp;"-"&amp;$B37,tb_PERFIL_INVEST!A:D,4,FALSE)</f>
        <v>0</v>
      </c>
      <c r="D37" s="50">
        <f>C37*$D$29</f>
        <v>0</v>
      </c>
    </row>
    <row r="38" spans="2:4" ht="15" thickBot="1" x14ac:dyDescent="0.4">
      <c r="B38" s="51"/>
      <c r="C38" s="52"/>
      <c r="D38" s="53">
        <f>SUM(D32:D37)</f>
        <v>500</v>
      </c>
    </row>
  </sheetData>
  <mergeCells count="13">
    <mergeCell ref="B16:C16"/>
    <mergeCell ref="B17:C17"/>
    <mergeCell ref="B18:C18"/>
    <mergeCell ref="B28:C28"/>
    <mergeCell ref="B29:C29"/>
    <mergeCell ref="B13:D13"/>
    <mergeCell ref="B20:C20"/>
    <mergeCell ref="B8:D8"/>
    <mergeCell ref="B9:C9"/>
    <mergeCell ref="B10:C10"/>
    <mergeCell ref="B11:C11"/>
    <mergeCell ref="B14:C14"/>
    <mergeCell ref="B15:C15"/>
  </mergeCells>
  <dataValidations count="1">
    <dataValidation type="list" allowBlank="1" showInputMessage="1" showErrorMessage="1" sqref="D28" xr:uid="{86847338-4612-4BD5-944E-7306E2219014}">
      <formula1>"Moderado,Agressivo,Conservador"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7CBB-AFE0-4776-ACF2-6833F968E31D}">
  <dimension ref="A2:D20"/>
  <sheetViews>
    <sheetView showGridLines="0" workbookViewId="0">
      <selection activeCell="C9" sqref="C9"/>
    </sheetView>
  </sheetViews>
  <sheetFormatPr defaultRowHeight="14.5" x14ac:dyDescent="0.35"/>
  <cols>
    <col min="1" max="1" width="28.54296875" bestFit="1" customWidth="1"/>
    <col min="2" max="2" width="11.08984375" bestFit="1" customWidth="1"/>
    <col min="3" max="3" width="17.453125" bestFit="1" customWidth="1"/>
    <col min="4" max="4" width="4.36328125" bestFit="1" customWidth="1"/>
  </cols>
  <sheetData>
    <row r="2" spans="1:4" x14ac:dyDescent="0.35">
      <c r="A2" s="54" t="s">
        <v>31</v>
      </c>
      <c r="B2" s="54" t="s">
        <v>17</v>
      </c>
      <c r="C2" s="54" t="s">
        <v>28</v>
      </c>
      <c r="D2" s="54" t="s">
        <v>30</v>
      </c>
    </row>
    <row r="3" spans="1:4" x14ac:dyDescent="0.35">
      <c r="A3" t="str">
        <f>B3&amp;"-"&amp;C3</f>
        <v>Conservador-PAPEL</v>
      </c>
      <c r="B3" t="s">
        <v>29</v>
      </c>
      <c r="C3" t="s">
        <v>20</v>
      </c>
      <c r="D3" s="7">
        <v>0.3</v>
      </c>
    </row>
    <row r="4" spans="1:4" x14ac:dyDescent="0.35">
      <c r="A4" t="str">
        <f t="shared" ref="A4:A20" si="0">B4&amp;"-"&amp;C4</f>
        <v>Conservador-TIJOLO</v>
      </c>
      <c r="B4" t="s">
        <v>29</v>
      </c>
      <c r="C4" t="s">
        <v>21</v>
      </c>
      <c r="D4" s="7">
        <v>0.5</v>
      </c>
    </row>
    <row r="5" spans="1:4" x14ac:dyDescent="0.35">
      <c r="A5" t="str">
        <f t="shared" si="0"/>
        <v>Conservador-HIBRIDOS</v>
      </c>
      <c r="B5" t="s">
        <v>29</v>
      </c>
      <c r="C5" t="s">
        <v>22</v>
      </c>
      <c r="D5" s="7">
        <v>0.1</v>
      </c>
    </row>
    <row r="6" spans="1:4" x14ac:dyDescent="0.35">
      <c r="A6" t="str">
        <f t="shared" si="0"/>
        <v>Conservador-FOFs</v>
      </c>
      <c r="B6" t="s">
        <v>29</v>
      </c>
      <c r="C6" t="s">
        <v>23</v>
      </c>
      <c r="D6" s="7">
        <v>0.1</v>
      </c>
    </row>
    <row r="7" spans="1:4" x14ac:dyDescent="0.35">
      <c r="A7" t="str">
        <f t="shared" si="0"/>
        <v>Conservador-DESENVOLVIMENTO</v>
      </c>
      <c r="B7" t="s">
        <v>29</v>
      </c>
      <c r="C7" t="s">
        <v>24</v>
      </c>
      <c r="D7" s="7">
        <v>0</v>
      </c>
    </row>
    <row r="8" spans="1:4" ht="15" thickBot="1" x14ac:dyDescent="0.4">
      <c r="A8" s="34" t="str">
        <f t="shared" si="0"/>
        <v>Conservador-HOTELATIAS</v>
      </c>
      <c r="B8" s="34" t="s">
        <v>29</v>
      </c>
      <c r="C8" s="34" t="s">
        <v>25</v>
      </c>
      <c r="D8" s="35">
        <v>0</v>
      </c>
    </row>
    <row r="9" spans="1:4" x14ac:dyDescent="0.35">
      <c r="A9" t="str">
        <f t="shared" si="0"/>
        <v>Moderado-PAPEL</v>
      </c>
      <c r="B9" t="s">
        <v>32</v>
      </c>
      <c r="C9" t="s">
        <v>20</v>
      </c>
      <c r="D9" s="7">
        <v>0.32</v>
      </c>
    </row>
    <row r="10" spans="1:4" x14ac:dyDescent="0.35">
      <c r="A10" t="str">
        <f t="shared" si="0"/>
        <v>Moderado-TIJOLO</v>
      </c>
      <c r="B10" t="s">
        <v>32</v>
      </c>
      <c r="C10" t="s">
        <v>21</v>
      </c>
      <c r="D10" s="7">
        <v>0.35</v>
      </c>
    </row>
    <row r="11" spans="1:4" x14ac:dyDescent="0.35">
      <c r="A11" t="str">
        <f t="shared" si="0"/>
        <v>Moderado-HIBRIDOS</v>
      </c>
      <c r="B11" t="s">
        <v>32</v>
      </c>
      <c r="C11" t="s">
        <v>22</v>
      </c>
      <c r="D11" s="7">
        <v>0.08</v>
      </c>
    </row>
    <row r="12" spans="1:4" x14ac:dyDescent="0.35">
      <c r="A12" t="str">
        <f t="shared" si="0"/>
        <v>Moderado-FOFs</v>
      </c>
      <c r="B12" t="s">
        <v>32</v>
      </c>
      <c r="C12" t="s">
        <v>23</v>
      </c>
      <c r="D12" s="7">
        <v>0.05</v>
      </c>
    </row>
    <row r="13" spans="1:4" x14ac:dyDescent="0.35">
      <c r="A13" t="str">
        <f t="shared" si="0"/>
        <v>Moderado-DESENVOLVIMENTO</v>
      </c>
      <c r="B13" t="s">
        <v>32</v>
      </c>
      <c r="C13" t="s">
        <v>24</v>
      </c>
      <c r="D13" s="7">
        <v>0.1</v>
      </c>
    </row>
    <row r="14" spans="1:4" ht="15" thickBot="1" x14ac:dyDescent="0.4">
      <c r="A14" s="34" t="str">
        <f t="shared" si="0"/>
        <v>Moderado-HOTELATIAS</v>
      </c>
      <c r="B14" s="34" t="s">
        <v>32</v>
      </c>
      <c r="C14" s="34" t="s">
        <v>25</v>
      </c>
      <c r="D14" s="35">
        <v>0.1</v>
      </c>
    </row>
    <row r="15" spans="1:4" x14ac:dyDescent="0.35">
      <c r="A15" t="str">
        <f t="shared" si="0"/>
        <v>Agressivo-PAPEL</v>
      </c>
      <c r="B15" t="s">
        <v>33</v>
      </c>
      <c r="C15" t="s">
        <v>20</v>
      </c>
      <c r="D15" s="7">
        <v>0.5</v>
      </c>
    </row>
    <row r="16" spans="1:4" x14ac:dyDescent="0.35">
      <c r="A16" t="str">
        <f t="shared" si="0"/>
        <v>Agressivo-TIJOLO</v>
      </c>
      <c r="B16" t="s">
        <v>33</v>
      </c>
      <c r="C16" t="s">
        <v>21</v>
      </c>
      <c r="D16" s="7">
        <v>0.1</v>
      </c>
    </row>
    <row r="17" spans="1:4" x14ac:dyDescent="0.35">
      <c r="A17" t="str">
        <f t="shared" si="0"/>
        <v>Agressivo-HIBRIDOS</v>
      </c>
      <c r="B17" t="s">
        <v>33</v>
      </c>
      <c r="C17" t="s">
        <v>22</v>
      </c>
      <c r="D17" s="7">
        <v>0.05</v>
      </c>
    </row>
    <row r="18" spans="1:4" x14ac:dyDescent="0.35">
      <c r="A18" t="str">
        <f t="shared" si="0"/>
        <v>Agressivo-FOFs</v>
      </c>
      <c r="B18" t="s">
        <v>33</v>
      </c>
      <c r="C18" t="s">
        <v>23</v>
      </c>
      <c r="D18" s="7">
        <v>0.05</v>
      </c>
    </row>
    <row r="19" spans="1:4" x14ac:dyDescent="0.35">
      <c r="A19" t="str">
        <f t="shared" si="0"/>
        <v>Agressivo-DESENVOLVIMENTO</v>
      </c>
      <c r="B19" t="s">
        <v>33</v>
      </c>
      <c r="C19" t="s">
        <v>24</v>
      </c>
      <c r="D19" s="7">
        <v>0.2</v>
      </c>
    </row>
    <row r="20" spans="1:4" x14ac:dyDescent="0.35">
      <c r="A20" t="str">
        <f t="shared" si="0"/>
        <v>Agressivo-HOTELATIAS</v>
      </c>
      <c r="B20" t="s">
        <v>33</v>
      </c>
      <c r="C20" t="s">
        <v>25</v>
      </c>
      <c r="D20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tb_PERFIL_INVEST</vt:lpstr>
      <vt:lpstr>aporte</vt:lpstr>
      <vt:lpstr>qtd_anos</vt:lpstr>
      <vt:lpstr>rendimento_carteira</vt:lpstr>
      <vt:lpstr>salario</vt:lpstr>
      <vt:lpstr>sugestao_invest</vt:lpstr>
      <vt:lpstr>taxa_invest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Melo dos Santos</dc:creator>
  <cp:lastModifiedBy>rutemberg araujo</cp:lastModifiedBy>
  <dcterms:created xsi:type="dcterms:W3CDTF">2026-02-01T22:22:19Z</dcterms:created>
  <dcterms:modified xsi:type="dcterms:W3CDTF">2026-02-02T01:43:48Z</dcterms:modified>
</cp:coreProperties>
</file>